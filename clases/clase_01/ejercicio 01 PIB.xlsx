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2020 Docencia\2021 Postgrado\FENP - Entorno Económico\diapositivas\clase_01\"/>
    </mc:Choice>
  </mc:AlternateContent>
  <xr:revisionPtr revIDLastSave="0" documentId="13_ncr:1_{03CCA118-875A-468E-B7B3-DD0E274BF601}" xr6:coauthVersionLast="47" xr6:coauthVersionMax="47" xr10:uidLastSave="{00000000-0000-0000-0000-000000000000}"/>
  <bookViews>
    <workbookView xWindow="28680" yWindow="-120" windowWidth="24240" windowHeight="13020" xr2:uid="{71C007DB-C304-4EC4-A124-9B87BDC341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C16" i="1"/>
  <c r="C14" i="1"/>
  <c r="C13" i="1"/>
  <c r="C9" i="1"/>
  <c r="C8" i="1"/>
  <c r="E4" i="1"/>
</calcChain>
</file>

<file path=xl/sharedStrings.xml><?xml version="1.0" encoding="utf-8"?>
<sst xmlns="http://schemas.openxmlformats.org/spreadsheetml/2006/main" count="12" uniqueCount="11">
  <si>
    <t>Empresa Minera</t>
  </si>
  <si>
    <t>Fabricante de Joyas</t>
  </si>
  <si>
    <t>Ventas</t>
  </si>
  <si>
    <t>Sueldos</t>
  </si>
  <si>
    <t>Valor Agregado</t>
  </si>
  <si>
    <t>Compras</t>
  </si>
  <si>
    <t>Rentas</t>
  </si>
  <si>
    <t>Gasto (Consumo)</t>
  </si>
  <si>
    <t>Utilidad</t>
  </si>
  <si>
    <t>Mineria</t>
  </si>
  <si>
    <t>Joyas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</si>
</sst>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3">
    <xf numFmtId="0" fontId="0" fillId="0" borderId="0" xfId="0"/>
    <xf numFmtId="42" fontId="0" fillId="0" borderId="0" xfId="1" applyFont="1"/>
    <xf numFmtId="42" fontId="0" fillId="0" borderId="0" xfId="0" applyNumberFormat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5DC3F-70CA-4A63-B167-E91586C38DEC}">
  <dimension ref="B2:E18"/>
  <sheetViews>
    <sheetView tabSelected="1" zoomScale="150" zoomScaleNormal="150" workbookViewId="0">
      <selection activeCell="B5" sqref="B5"/>
    </sheetView>
  </sheetViews>
  <sheetFormatPr baseColWidth="10" defaultRowHeight="14.4" x14ac:dyDescent="0.3"/>
  <cols>
    <col min="2" max="2" width="17.77734375" bestFit="1" customWidth="1"/>
    <col min="3" max="3" width="9.44140625" bestFit="1" customWidth="1"/>
    <col min="4" max="4" width="8.44140625" bestFit="1" customWidth="1"/>
    <col min="5" max="5" width="9.44140625" bestFit="1" customWidth="1"/>
  </cols>
  <sheetData>
    <row r="2" spans="2:5" x14ac:dyDescent="0.3">
      <c r="C2" t="s">
        <v>2</v>
      </c>
      <c r="D2" t="s">
        <v>3</v>
      </c>
      <c r="E2" t="s">
        <v>5</v>
      </c>
    </row>
    <row r="3" spans="2:5" x14ac:dyDescent="0.3">
      <c r="B3" t="s">
        <v>0</v>
      </c>
      <c r="C3" s="1">
        <v>100000</v>
      </c>
      <c r="D3" s="1">
        <v>75000</v>
      </c>
      <c r="E3" s="1">
        <v>0</v>
      </c>
    </row>
    <row r="4" spans="2:5" x14ac:dyDescent="0.3">
      <c r="B4" t="s">
        <v>1</v>
      </c>
      <c r="C4" s="1">
        <v>400000</v>
      </c>
      <c r="D4" s="1">
        <v>50000</v>
      </c>
      <c r="E4" s="1">
        <f>C3</f>
        <v>100000</v>
      </c>
    </row>
    <row r="5" spans="2:5" x14ac:dyDescent="0.3">
      <c r="C5" s="1"/>
      <c r="D5" s="1"/>
      <c r="E5" s="1"/>
    </row>
    <row r="6" spans="2:5" x14ac:dyDescent="0.3">
      <c r="C6" s="1"/>
      <c r="D6" s="1"/>
      <c r="E6" s="1"/>
    </row>
    <row r="7" spans="2:5" x14ac:dyDescent="0.3">
      <c r="B7" t="s">
        <v>7</v>
      </c>
      <c r="C7" s="1">
        <v>400000</v>
      </c>
      <c r="D7" s="1"/>
      <c r="E7" s="1"/>
    </row>
    <row r="8" spans="2:5" x14ac:dyDescent="0.3">
      <c r="B8" t="s">
        <v>4</v>
      </c>
      <c r="C8" s="1">
        <f>C3-E3+C4-E4</f>
        <v>400000</v>
      </c>
      <c r="D8" s="1"/>
      <c r="E8" s="1"/>
    </row>
    <row r="9" spans="2:5" x14ac:dyDescent="0.3">
      <c r="B9" t="s">
        <v>6</v>
      </c>
      <c r="C9" s="1">
        <f>C3-D3+D3+C4-D4-E4+D4</f>
        <v>400000</v>
      </c>
      <c r="D9" s="1"/>
      <c r="E9" s="1"/>
    </row>
    <row r="12" spans="2:5" x14ac:dyDescent="0.3">
      <c r="B12" t="s">
        <v>8</v>
      </c>
    </row>
    <row r="13" spans="2:5" x14ac:dyDescent="0.3">
      <c r="B13" t="s">
        <v>9</v>
      </c>
      <c r="C13" s="2">
        <f>C3-D3</f>
        <v>25000</v>
      </c>
    </row>
    <row r="14" spans="2:5" x14ac:dyDescent="0.3">
      <c r="B14" t="s">
        <v>10</v>
      </c>
      <c r="C14" s="2">
        <f>C4-D4-E4</f>
        <v>250000</v>
      </c>
    </row>
    <row r="16" spans="2:5" x14ac:dyDescent="0.3">
      <c r="B16" t="s">
        <v>3</v>
      </c>
      <c r="C16" s="2">
        <f>SUM(D3:D4)</f>
        <v>125000</v>
      </c>
    </row>
    <row r="18" spans="3:3" x14ac:dyDescent="0.3">
      <c r="C18" s="2">
        <f>SUM(C13:C16)</f>
        <v>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Egaña</dc:creator>
  <cp:lastModifiedBy>Sebastian EgaÃ±a SantibaÃ±ez</cp:lastModifiedBy>
  <dcterms:created xsi:type="dcterms:W3CDTF">2023-04-10T19:05:17Z</dcterms:created>
  <dcterms:modified xsi:type="dcterms:W3CDTF">2025-09-02T01:09:13Z</dcterms:modified>
</cp:coreProperties>
</file>